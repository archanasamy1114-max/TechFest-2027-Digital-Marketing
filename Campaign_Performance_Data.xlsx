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TechFest_2027_Digital_Marketing\05_Analytics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K3" i="1"/>
  <c r="K4" i="1"/>
  <c r="K5" i="1"/>
  <c r="K6" i="1"/>
  <c r="K7" i="1"/>
  <c r="K8" i="1"/>
  <c r="K9" i="1"/>
  <c r="J3" i="1"/>
  <c r="J4" i="1"/>
  <c r="J5" i="1"/>
  <c r="J6" i="1"/>
  <c r="J7" i="1"/>
  <c r="J8" i="1"/>
  <c r="J9" i="1"/>
  <c r="I3" i="1"/>
  <c r="I4" i="1"/>
  <c r="I5" i="1"/>
  <c r="I6" i="1"/>
  <c r="I7" i="1"/>
  <c r="I8" i="1"/>
  <c r="I9" i="1"/>
  <c r="L2" i="1"/>
  <c r="K2" i="1"/>
  <c r="J2" i="1"/>
  <c r="I2" i="1"/>
</calcChain>
</file>

<file path=xl/sharedStrings.xml><?xml version="1.0" encoding="utf-8"?>
<sst xmlns="http://schemas.openxmlformats.org/spreadsheetml/2006/main" count="28" uniqueCount="24">
  <si>
    <t>Date</t>
  </si>
  <si>
    <t>Platform</t>
  </si>
  <si>
    <t>Campaign</t>
  </si>
  <si>
    <t>Impressions</t>
  </si>
  <si>
    <t>Clicks</t>
  </si>
  <si>
    <t>Spend</t>
  </si>
  <si>
    <t>Registrations</t>
  </si>
  <si>
    <t>Revenue</t>
  </si>
  <si>
    <t>Instagram</t>
  </si>
  <si>
    <t>Event Awareness</t>
  </si>
  <si>
    <t>LinkedIn</t>
  </si>
  <si>
    <t>Student Engagement</t>
  </si>
  <si>
    <t>YouTube</t>
  </si>
  <si>
    <t>Event Promotion</t>
  </si>
  <si>
    <t>Google Ads</t>
  </si>
  <si>
    <t>Registration Campaign</t>
  </si>
  <si>
    <t>Registration Reminder</t>
  </si>
  <si>
    <t>Tech Event Promotion</t>
  </si>
  <si>
    <t>Hackathon Campaign</t>
  </si>
  <si>
    <t>Event Highlights</t>
  </si>
  <si>
    <t>CTR (%)</t>
  </si>
  <si>
    <t>CPC</t>
  </si>
  <si>
    <t>Conversion Rate (%)</t>
  </si>
  <si>
    <t>ROAS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</si>
</sst>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topLeftCell="H1" zoomScale="91" zoomScaleNormal="91" workbookViewId="0">
      <selection activeCell="L9" sqref="L9"/>
    </sheetView>
  </sheetViews>
  <sheetFormatPr defaultRowHeight="15" x14ac:dyDescent="0.25"/>
  <cols>
    <col min="2" max="2" width="27.140625" customWidth="1"/>
    <col min="3" max="3" width="21.140625" bestFit="1" customWidth="1"/>
    <col min="4" max="4" width="21.7109375" customWidth="1"/>
    <col min="7" max="7" width="14.85546875" customWidth="1"/>
    <col min="9" max="9" width="42.140625" customWidth="1"/>
    <col min="10" max="10" width="16.7109375" customWidth="1"/>
    <col min="11" max="11" width="17.85546875" customWidth="1"/>
    <col min="12" max="12" width="19.28515625" customWidth="1"/>
    <col min="13" max="13" width="1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25">
      <c r="A2" s="1">
        <v>46388</v>
      </c>
      <c r="B2" t="s">
        <v>8</v>
      </c>
      <c r="C2" t="s">
        <v>9</v>
      </c>
      <c r="D2">
        <v>10000</v>
      </c>
      <c r="E2">
        <v>500</v>
      </c>
      <c r="F2">
        <v>1500</v>
      </c>
      <c r="G2">
        <v>25</v>
      </c>
      <c r="H2">
        <v>12500</v>
      </c>
      <c r="I2">
        <f>IFERROR(E2/D2*100,0)</f>
        <v>5</v>
      </c>
      <c r="J2">
        <f>IFERROR(F2/E2,0)</f>
        <v>3</v>
      </c>
      <c r="K2">
        <f>IFERROR(G2/E2*100,0)</f>
        <v>5</v>
      </c>
      <c r="L2">
        <f>IFERROR(H2/F2,0)</f>
        <v>8.3333333333333339</v>
      </c>
    </row>
    <row r="3" spans="1:12" x14ac:dyDescent="0.25">
      <c r="A3" s="1">
        <v>46389</v>
      </c>
      <c r="B3" t="s">
        <v>10</v>
      </c>
      <c r="C3" t="s">
        <v>11</v>
      </c>
      <c r="D3">
        <v>6000</v>
      </c>
      <c r="E3">
        <v>240</v>
      </c>
      <c r="F3">
        <v>800</v>
      </c>
      <c r="G3">
        <v>18</v>
      </c>
      <c r="H3">
        <v>9000</v>
      </c>
      <c r="I3">
        <f t="shared" ref="I3:I9" si="0">IFERROR(E3/D3*100,0)</f>
        <v>4</v>
      </c>
      <c r="J3">
        <f t="shared" ref="J3:J9" si="1">IFERROR(F3/E3,0)</f>
        <v>3.3333333333333335</v>
      </c>
      <c r="K3">
        <f t="shared" ref="K3:K9" si="2">IFERROR(G3/E3*100,0)</f>
        <v>7.5</v>
      </c>
      <c r="L3">
        <f t="shared" ref="L3:L9" si="3">IFERROR(H3/F3,0)</f>
        <v>11.25</v>
      </c>
    </row>
    <row r="4" spans="1:12" x14ac:dyDescent="0.25">
      <c r="A4" s="1">
        <v>46390</v>
      </c>
      <c r="B4" t="s">
        <v>12</v>
      </c>
      <c r="C4" t="s">
        <v>13</v>
      </c>
      <c r="D4">
        <v>8000</v>
      </c>
      <c r="E4">
        <v>320</v>
      </c>
      <c r="F4">
        <v>1000</v>
      </c>
      <c r="G4">
        <v>20</v>
      </c>
      <c r="H4">
        <v>10000</v>
      </c>
      <c r="I4">
        <f t="shared" si="0"/>
        <v>4</v>
      </c>
      <c r="J4">
        <f t="shared" si="1"/>
        <v>3.125</v>
      </c>
      <c r="K4">
        <f t="shared" si="2"/>
        <v>6.25</v>
      </c>
      <c r="L4">
        <f t="shared" si="3"/>
        <v>10</v>
      </c>
    </row>
    <row r="5" spans="1:12" x14ac:dyDescent="0.25">
      <c r="A5" s="1">
        <v>46391</v>
      </c>
      <c r="B5" t="s">
        <v>14</v>
      </c>
      <c r="C5" t="s">
        <v>15</v>
      </c>
      <c r="D5">
        <v>12000</v>
      </c>
      <c r="E5">
        <v>720</v>
      </c>
      <c r="F5">
        <v>2400</v>
      </c>
      <c r="G5">
        <v>72</v>
      </c>
      <c r="H5">
        <v>36000</v>
      </c>
      <c r="I5">
        <f t="shared" si="0"/>
        <v>6</v>
      </c>
      <c r="J5">
        <f t="shared" si="1"/>
        <v>3.3333333333333335</v>
      </c>
      <c r="K5">
        <f t="shared" si="2"/>
        <v>10</v>
      </c>
      <c r="L5">
        <f t="shared" si="3"/>
        <v>15</v>
      </c>
    </row>
    <row r="6" spans="1:12" x14ac:dyDescent="0.25">
      <c r="A6" s="1">
        <v>46392</v>
      </c>
      <c r="B6" t="s">
        <v>8</v>
      </c>
      <c r="C6" t="s">
        <v>16</v>
      </c>
      <c r="D6">
        <v>9000</v>
      </c>
      <c r="E6">
        <v>450</v>
      </c>
      <c r="F6">
        <v>1350</v>
      </c>
      <c r="G6">
        <v>30</v>
      </c>
      <c r="H6">
        <v>15000</v>
      </c>
      <c r="I6">
        <f t="shared" si="0"/>
        <v>5</v>
      </c>
      <c r="J6">
        <f t="shared" si="1"/>
        <v>3</v>
      </c>
      <c r="K6">
        <f t="shared" si="2"/>
        <v>6.666666666666667</v>
      </c>
      <c r="L6">
        <f t="shared" si="3"/>
        <v>11.111111111111111</v>
      </c>
    </row>
    <row r="7" spans="1:12" x14ac:dyDescent="0.25">
      <c r="A7" s="1">
        <v>46393</v>
      </c>
      <c r="B7" t="s">
        <v>10</v>
      </c>
      <c r="C7" t="s">
        <v>17</v>
      </c>
      <c r="D7">
        <v>5000</v>
      </c>
      <c r="E7">
        <v>200</v>
      </c>
      <c r="F7">
        <v>700</v>
      </c>
      <c r="G7">
        <v>15</v>
      </c>
      <c r="H7">
        <v>7500</v>
      </c>
      <c r="I7">
        <f t="shared" si="0"/>
        <v>4</v>
      </c>
      <c r="J7">
        <f t="shared" si="1"/>
        <v>3.5</v>
      </c>
      <c r="K7">
        <f t="shared" si="2"/>
        <v>7.5</v>
      </c>
      <c r="L7">
        <f t="shared" si="3"/>
        <v>10.714285714285714</v>
      </c>
    </row>
    <row r="8" spans="1:12" x14ac:dyDescent="0.25">
      <c r="A8" s="1">
        <v>46394</v>
      </c>
      <c r="B8" t="s">
        <v>14</v>
      </c>
      <c r="C8" t="s">
        <v>18</v>
      </c>
      <c r="D8">
        <v>10000</v>
      </c>
      <c r="E8">
        <v>600</v>
      </c>
      <c r="F8">
        <v>2100</v>
      </c>
      <c r="G8">
        <v>60</v>
      </c>
      <c r="H8">
        <v>30000</v>
      </c>
      <c r="I8">
        <f t="shared" si="0"/>
        <v>6</v>
      </c>
      <c r="J8">
        <f t="shared" si="1"/>
        <v>3.5</v>
      </c>
      <c r="K8">
        <f t="shared" si="2"/>
        <v>10</v>
      </c>
      <c r="L8">
        <f t="shared" si="3"/>
        <v>14.285714285714286</v>
      </c>
    </row>
    <row r="9" spans="1:12" x14ac:dyDescent="0.25">
      <c r="A9" s="1">
        <v>46395</v>
      </c>
      <c r="B9" t="s">
        <v>12</v>
      </c>
      <c r="C9" t="s">
        <v>19</v>
      </c>
      <c r="D9">
        <v>7000</v>
      </c>
      <c r="E9">
        <v>280</v>
      </c>
      <c r="F9">
        <v>900</v>
      </c>
      <c r="G9">
        <v>16</v>
      </c>
      <c r="H9">
        <v>8000</v>
      </c>
      <c r="I9">
        <f t="shared" si="0"/>
        <v>4</v>
      </c>
      <c r="J9">
        <f t="shared" si="1"/>
        <v>3.2142857142857144</v>
      </c>
      <c r="K9">
        <f t="shared" si="2"/>
        <v>5.7142857142857144</v>
      </c>
      <c r="L9">
        <f t="shared" si="3"/>
        <v>8.8888888888888893</v>
      </c>
    </row>
    <row r="23" ht="27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2026-10-10T04:45:07Z</dcterms:created>
  <dcterms:modified xsi:type="dcterms:W3CDTF">2026-10-10T05:02:57Z</dcterms:modified>
</cp:coreProperties>
</file>